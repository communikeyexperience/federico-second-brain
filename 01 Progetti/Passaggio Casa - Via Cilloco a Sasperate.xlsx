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Economico" sheetId="1" state="visible" r:id="rId3"/>
    <sheet name="Note e Assunzioni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<sst xmlns="http://schemas.openxmlformats.org/spreadsheetml/2006/main" count="80" uniqueCount="78">
  <si>
    <t xml:space="preserve">PASSAGGIO CASA — VIA CILLOCO → SASPERATE</t>
  </si>
  <si>
    <t xml:space="preserve">Quadro economico — aggiornato 2026-09-02 dopo correzioni di Federico. Celle blu su sfondo giallo = assunzioni di default ancora da verificare. Celle blu semplici = dati/stime forniti da Federico.</t>
  </si>
  <si>
    <t xml:space="preserve">VENDITA — VIA CILLOCO</t>
  </si>
  <si>
    <t xml:space="preserve">Valore stimato immobile</t>
  </si>
  <si>
    <t xml:space="preserve">Range indicato da Federico: 240.000–250.000 €. Modifica B5 per testare gli estremi.</t>
  </si>
  <si>
    <t xml:space="preserve">Mutuo residuo da estinguere</t>
  </si>
  <si>
    <t xml:space="preserve">Provvigione agenzia vendita (%)</t>
  </si>
  <si>
    <t xml:space="preserve">Indicata da Federico: agenzia di un amico, commissione ridotta (1%) rispetto alla prassi di mercato.</t>
  </si>
  <si>
    <t xml:space="preserve">Provvigione agenzia vendita (€)</t>
  </si>
  <si>
    <t xml:space="preserve">Penale estinzione anticipata mutuo (%)</t>
  </si>
  <si>
    <t xml:space="preserve">Indicata da Federico come probabile (1% del residuo) — confermare l'importo esatto con la banca.</t>
  </si>
  <si>
    <t xml:space="preserve">Penale estinzione anticipata mutuo (€)</t>
  </si>
  <si>
    <t xml:space="preserve">Imposta su eventuale plusvalenza</t>
  </si>
  <si>
    <t xml:space="preserve">Da verificare con commercialista: in genere esente se la casa è stata abitazione principale per la maggior parte del periodo di possesso, o se posseduta da oltre 5 anni.</t>
  </si>
  <si>
    <t xml:space="preserve">Altri costi di vendita (APE, certificazioni, varie)</t>
  </si>
  <si>
    <t xml:space="preserve">NETTO DA VENDITA</t>
  </si>
  <si>
    <t xml:space="preserve">ACQUISTO — SASPERATE (regime prima casa)</t>
  </si>
  <si>
    <t xml:space="preserve">Prezzo offerta</t>
  </si>
  <si>
    <t xml:space="preserve">Federico: offerta massima indicata 80.000–85.000 €. Qui impostato al massimo (85.000) per lo scenario prudenziale.</t>
  </si>
  <si>
    <t xml:space="preserve">Imposta di registro (%) — agevolazione prima casa</t>
  </si>
  <si>
    <t xml:space="preserve">Aggiornato: acquisto come prima casa → aliquota agevolata 2% (invece di 9%). Da confermare col notaio che l'intero immobile rientri nell'agevolazione (vedi nota su terreno/pertinenza nel foglio Note e Assunzioni).</t>
  </si>
  <si>
    <t xml:space="preserve">Imposta di registro (€, minimo 1.000 €)</t>
  </si>
  <si>
    <t xml:space="preserve">Imposta ipotecaria (fissa, prima casa)</t>
  </si>
  <si>
    <t xml:space="preserve">Imposta catastale (fissa, prima casa)</t>
  </si>
  <si>
    <t xml:space="preserve">Imposte ipotecaria e catastale fisse a 50 € ciascuna: valido per acquisto prima casa da venditore privato. Se il venditore fosse soggetto IVA il regime cambia — verificare col notaio.</t>
  </si>
  <si>
    <t xml:space="preserve">Onorario notaio</t>
  </si>
  <si>
    <t xml:space="preserve">Provvigione agenzia acquisto (%)</t>
  </si>
  <si>
    <t xml:space="preserve">Indicata da Federico come standard di mercato (3%) — provvisoria, potrebbe cambiare in base all'agenzia coinvolta ('poi vediamo').</t>
  </si>
  <si>
    <t xml:space="preserve">Provvigione agenzia acquisto (€)</t>
  </si>
  <si>
    <t xml:space="preserve">Altri oneri (accatastamento, perizie, sopralluoghi)</t>
  </si>
  <si>
    <t xml:space="preserve">TOTALE COSTI ACQUISTO (esclusa prezzo)</t>
  </si>
  <si>
    <t xml:space="preserve">TOTALE ESBORSO ACQUISTO (prezzo + costi)</t>
  </si>
  <si>
    <t xml:space="preserve">TEMPISTICA DI PAGAMENTO A SASPERATE — ipotesi acquisto programmato / rent to buy</t>
  </si>
  <si>
    <t xml:space="preserve">Acconto alla firma (ipotesi Federico)</t>
  </si>
  <si>
    <t xml:space="preserve">Cifra indicata da Federico come esempio ('un conto importante di ventimila euro'). Da definire con il venditore se si tratta di caparra confirmatoria o semplice acconto — non sono equivalenti legalmente.</t>
  </si>
  <si>
    <t xml:space="preserve">Saldo a rogito differito (entro ~12 mesi, ipotesi)</t>
  </si>
  <si>
    <t xml:space="preserve">Ipotesi illustrativa, non uno strumento contrattuale specifico: sia un preliminare con acconto e saldo differito, sia un vero rent to buy (art. 23 DL 133/2014, con godimento anticipato dell'immobile dietro canone) possono strutturare questo schema — con differenze rilevanti su quando si trasferisce la proprietà, chi ha il possesso dell'immobile nel frattempo e come vengono tassati i pagamenti. Il saldo qui è ipotizzato in un'unica soluzione a rogito; imposte e notaio potrebbero invece essere dovuti in momenti diversi a seconda dello strumento scelto. Il saldo dovrebbe coincidere con l'incasso della vendita di Via Cilloco: la vendita deve quindi chiudersi entro la finestra concordata per il saldo.</t>
  </si>
  <si>
    <t xml:space="preserve">RISTRUTTURAZIONE — budget disponibile</t>
  </si>
  <si>
    <t xml:space="preserve">BUDGET DISPONIBILE PER LA RISTRUTTURAZIONE</t>
  </si>
  <si>
    <t xml:space="preserve">Pari a netto vendita meno esborso acquisto. Come indicato da Federico, il budget di ristrutturazione NON è una stima indipendente: è quanto resta dall'operazione (nessun nuovo mutuo). Se un preventivo reale di ristrutturazione supera questa cifra, l'offerta di acquisto va abbassata, o va riconsiderata l'ipotesi di un finanziamento aggiuntivo.</t>
  </si>
  <si>
    <t xml:space="preserve">  di cui: prezzo offerta acquisto</t>
  </si>
  <si>
    <t xml:space="preserve">  di cui: totale costi acquisto (imposte, notaio, ecc.)</t>
  </si>
  <si>
    <t xml:space="preserve">NOTE E ASSUNZIONI — da verificare prima di decidere</t>
  </si>
  <si>
    <t xml:space="preserve">Questo foglio non è consulenza fiscale, legale o notarile. Le percentuali e gli importi in giallo nel foglio 'Quadro Economico' sono stime di default per far quadrare i conti — vanno confermati con un notaio, un commercialista e, per il mutuo, con la banca, prima di prendere qualunque decisione.</t>
  </si>
  <si>
    <t xml:space="preserve">Voce</t>
  </si>
  <si>
    <t xml:space="preserve">Valore usato nel modello</t>
  </si>
  <si>
    <t xml:space="preserve">Da verificare con...</t>
  </si>
  <si>
    <t xml:space="preserve">Provvigione agenzia vendita</t>
  </si>
  <si>
    <t xml:space="preserve">1,0% (dato di Federico)</t>
  </si>
  <si>
    <t xml:space="preserve">Amico/agente — confermare per iscritto la commissione pattuita.</t>
  </si>
  <si>
    <t xml:space="preserve">Penale estinzione anticipata mutuo</t>
  </si>
  <si>
    <t xml:space="preserve">1,0% del residuo (dato di Federico, probabile)</t>
  </si>
  <si>
    <t xml:space="preserve">Banca che eroga il mutuo — confermare l'importo esatto (dipende da tipo di tasso e data di stipula).</t>
  </si>
  <si>
    <t xml:space="preserve">0 €</t>
  </si>
  <si>
    <t xml:space="preserve">Commercialista — verifica requisiti di esenzione (abitazione principale, &gt;5 anni di possesso).</t>
  </si>
  <si>
    <t xml:space="preserve">Imposta di registro acquisto (prima casa)</t>
  </si>
  <si>
    <t xml:space="preserve">2,0%, minimo 1.000 €</t>
  </si>
  <si>
    <t xml:space="preserve">Notaio — confermare che l'intero immobile (terreno + casa) rientri nell'agevolazione prima casa: copre l'abitazione e le pertinenze entro certi limiti; un terreno agricolo oltre la pertinenza potrebbe essere tassato a parte con aliquota più alta. Verificare anche i requisiti soggettivi (trasferire la residenza entro 18 mesi, nessun'altra agevolazione prima casa attiva).</t>
  </si>
  <si>
    <t xml:space="preserve">Imposta ipotecaria e catastale</t>
  </si>
  <si>
    <t xml:space="preserve">50 € + 50 € (fisse)</t>
  </si>
  <si>
    <t xml:space="preserve">Notaio — valide per acquisto prima casa da venditore privato; se il venditore è soggetto IVA il regime cambia.</t>
  </si>
  <si>
    <t xml:space="preserve">3.000 €</t>
  </si>
  <si>
    <t xml:space="preserve">Notaio incaricato — richiedere preventivo scritto.</t>
  </si>
  <si>
    <t xml:space="preserve">Provvigione agenzia acquisto</t>
  </si>
  <si>
    <t xml:space="preserve">3,0% (dato di Federico, provvisorio)</t>
  </si>
  <si>
    <t xml:space="preserve">Da confermare con l'agenzia effettivamente coinvolta nell'acquisto — Federico l'ha indicata come standard, 'poi vediamo'.</t>
  </si>
  <si>
    <t xml:space="preserve">Altri oneri acquisto</t>
  </si>
  <si>
    <t xml:space="preserve">1.000 €</t>
  </si>
  <si>
    <t xml:space="preserve">Stima indicativa per accatastamento/perizie — da affinare.</t>
  </si>
  <si>
    <t xml:space="preserve">Budget ristrutturazione</t>
  </si>
  <si>
    <t xml:space="preserve">Pari al residuo dell'operazione (non più un input separato)</t>
  </si>
  <si>
    <t xml:space="preserve">Aggiornato su indicazione di Federico: il budget di ristrutturazione è quanto resta dopo l'acquisto, non una cifra a parte. Se serve di più, o si abbassa l'offerta o si riconsidera un finanziamento aggiuntivo.</t>
  </si>
  <si>
    <t xml:space="preserve">Acconto Sasperate</t>
  </si>
  <si>
    <t xml:space="preserve">20.000 € (esempio di Federico)</t>
  </si>
  <si>
    <t xml:space="preserve">Notaio/legale — definire se è caparra confirmatoria (art. 1385 c.c., tutela più forte in caso di inadempimento) o semplice acconto (tutela più debole); e se lo strumento è un preliminare con saldo differito o un rent to buy vero e proprio (art. 23 DL 133/2014).</t>
  </si>
  <si>
    <t xml:space="preserve">Saldo Sasperate, tempistica</t>
  </si>
  <si>
    <t xml:space="preserve">Entro ~12 mesi (ipotesi di Federico)</t>
  </si>
  <si>
    <t xml:space="preserve">Notaio/venditore — verificare che il venditore accetti di dilazionare così, e se richiede interessi o garanzie sul saldo differito (es. fideiussione).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</si>
</sst>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&quot; €&quot;;\(#,##0&quot; €)&quot;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C6EFCE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77777"/>
      <rgbColor rgb="FF9999FF"/>
      <rgbColor rgb="FF993366"/>
      <rgbColor rgb="FFE2EFDA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6"/>
    <col collapsed="false" customWidth="true" hidden="false" outlineLevel="0" max="3" min="3" style="0" width="55"/>
  </cols>
  <sheetData>
    <row r="1" customFormat="false" ht="19.5" hidden="false" customHeight="true" outlineLevel="0" collapsed="false">
      <c r="A1" s="1" t="s">
        <v>0</v>
      </c>
      <c r="B1" s="1"/>
      <c r="C1" s="1"/>
    </row>
    <row r="2" customFormat="false" ht="27.75" hidden="false" customHeight="true" outlineLevel="0" collapsed="false">
      <c r="A2" s="2" t="s">
        <v>1</v>
      </c>
      <c r="B2" s="2"/>
      <c r="C2" s="2"/>
    </row>
    <row r="4" customFormat="false" ht="15" hidden="false" customHeight="false" outlineLevel="0" collapsed="false">
      <c r="A4" s="3" t="s">
        <v>2</v>
      </c>
      <c r="B4" s="3"/>
      <c r="C4" s="3"/>
    </row>
    <row r="5" customFormat="false" ht="13.5" hidden="false" customHeight="true" outlineLevel="0" collapsed="false">
      <c r="A5" s="4" t="s">
        <v>3</v>
      </c>
      <c r="B5" s="5" t="n">
        <v>245000</v>
      </c>
      <c r="C5" s="6" t="s">
        <v>4</v>
      </c>
    </row>
    <row r="6" customFormat="false" ht="13.5" hidden="false" customHeight="true" outlineLevel="0" collapsed="false">
      <c r="A6" s="4" t="s">
        <v>5</v>
      </c>
      <c r="B6" s="5" t="n">
        <v>80000</v>
      </c>
    </row>
    <row r="7" customFormat="false" ht="13.5" hidden="false" customHeight="true" outlineLevel="0" collapsed="false">
      <c r="A7" s="4" t="s">
        <v>6</v>
      </c>
      <c r="B7" s="7" t="n">
        <v>0.01</v>
      </c>
      <c r="C7" s="6" t="s">
        <v>7</v>
      </c>
    </row>
    <row r="8" customFormat="false" ht="13.5" hidden="false" customHeight="true" outlineLevel="0" collapsed="false">
      <c r="A8" s="4" t="s">
        <v>8</v>
      </c>
      <c r="B8" s="8" t="n">
        <f aca="false">B5*B7</f>
        <v>2450</v>
      </c>
    </row>
    <row r="9" customFormat="false" ht="13.5" hidden="false" customHeight="true" outlineLevel="0" collapsed="false">
      <c r="A9" s="4" t="s">
        <v>9</v>
      </c>
      <c r="B9" s="7" t="n">
        <v>0.01</v>
      </c>
      <c r="C9" s="6" t="s">
        <v>10</v>
      </c>
    </row>
    <row r="10" customFormat="false" ht="13.5" hidden="false" customHeight="true" outlineLevel="0" collapsed="false">
      <c r="A10" s="4" t="s">
        <v>11</v>
      </c>
      <c r="B10" s="8" t="n">
        <f aca="false">B6*B9</f>
        <v>800</v>
      </c>
    </row>
    <row r="11" customFormat="false" ht="13.5" hidden="false" customHeight="true" outlineLevel="0" collapsed="false">
      <c r="A11" s="4" t="s">
        <v>12</v>
      </c>
      <c r="B11" s="9" t="n">
        <v>0</v>
      </c>
      <c r="C11" s="6" t="s">
        <v>13</v>
      </c>
    </row>
    <row r="12" customFormat="false" ht="13.5" hidden="false" customHeight="true" outlineLevel="0" collapsed="false">
      <c r="A12" s="4" t="s">
        <v>14</v>
      </c>
      <c r="B12" s="9" t="n">
        <v>500</v>
      </c>
    </row>
    <row r="13" customFormat="false" ht="15" hidden="false" customHeight="false" outlineLevel="0" collapsed="false">
      <c r="A13" s="10" t="s">
        <v>15</v>
      </c>
      <c r="B13" s="11" t="n">
        <f aca="false">B5-B6-B8-B10-B11-B12</f>
        <v>161250</v>
      </c>
    </row>
    <row r="15" customFormat="false" ht="15" hidden="false" customHeight="false" outlineLevel="0" collapsed="false">
      <c r="A15" s="3" t="s">
        <v>16</v>
      </c>
      <c r="B15" s="3"/>
      <c r="C15" s="3"/>
    </row>
    <row r="16" customFormat="false" ht="13.5" hidden="false" customHeight="true" outlineLevel="0" collapsed="false">
      <c r="A16" s="4" t="s">
        <v>17</v>
      </c>
      <c r="B16" s="5" t="n">
        <v>85000</v>
      </c>
      <c r="C16" s="6" t="s">
        <v>18</v>
      </c>
    </row>
    <row r="17" customFormat="false" ht="13.5" hidden="false" customHeight="true" outlineLevel="0" collapsed="false">
      <c r="A17" s="4" t="s">
        <v>19</v>
      </c>
      <c r="B17" s="12" t="n">
        <v>0.02</v>
      </c>
      <c r="C17" s="6" t="s">
        <v>20</v>
      </c>
    </row>
    <row r="18" customFormat="false" ht="13.5" hidden="false" customHeight="true" outlineLevel="0" collapsed="false">
      <c r="A18" s="4" t="s">
        <v>21</v>
      </c>
      <c r="B18" s="8" t="n">
        <f aca="false">MAX(B16*B17,1000)</f>
        <v>1700</v>
      </c>
    </row>
    <row r="19" customFormat="false" ht="13.5" hidden="false" customHeight="true" outlineLevel="0" collapsed="false">
      <c r="A19" s="4" t="s">
        <v>22</v>
      </c>
      <c r="B19" s="9" t="n">
        <v>50</v>
      </c>
    </row>
    <row r="20" customFormat="false" ht="13.5" hidden="false" customHeight="true" outlineLevel="0" collapsed="false">
      <c r="A20" s="4" t="s">
        <v>23</v>
      </c>
      <c r="B20" s="9" t="n">
        <v>50</v>
      </c>
      <c r="C20" s="6" t="s">
        <v>24</v>
      </c>
    </row>
    <row r="21" customFormat="false" ht="13.5" hidden="false" customHeight="true" outlineLevel="0" collapsed="false">
      <c r="A21" s="4" t="s">
        <v>25</v>
      </c>
      <c r="B21" s="9" t="n">
        <v>3000</v>
      </c>
    </row>
    <row r="22" customFormat="false" ht="13.5" hidden="false" customHeight="true" outlineLevel="0" collapsed="false">
      <c r="A22" s="4" t="s">
        <v>26</v>
      </c>
      <c r="B22" s="7" t="n">
        <v>0.03</v>
      </c>
      <c r="C22" s="6" t="s">
        <v>27</v>
      </c>
    </row>
    <row r="23" customFormat="false" ht="13.5" hidden="false" customHeight="true" outlineLevel="0" collapsed="false">
      <c r="A23" s="4" t="s">
        <v>28</v>
      </c>
      <c r="B23" s="8" t="n">
        <f aca="false">B16*B22</f>
        <v>2550</v>
      </c>
    </row>
    <row r="24" customFormat="false" ht="13.5" hidden="false" customHeight="true" outlineLevel="0" collapsed="false">
      <c r="A24" s="4" t="s">
        <v>29</v>
      </c>
      <c r="B24" s="9" t="n">
        <v>1000</v>
      </c>
    </row>
    <row r="25" customFormat="false" ht="15" hidden="false" customHeight="false" outlineLevel="0" collapsed="false">
      <c r="A25" s="13" t="s">
        <v>30</v>
      </c>
      <c r="B25" s="14" t="n">
        <f aca="false">SUM(B18,B19,B20,B21,B23,B24)</f>
        <v>8350</v>
      </c>
    </row>
    <row r="26" customFormat="false" ht="15" hidden="false" customHeight="false" outlineLevel="0" collapsed="false">
      <c r="A26" s="10" t="s">
        <v>31</v>
      </c>
      <c r="B26" s="11" t="n">
        <f aca="false">B16+B25</f>
        <v>93350</v>
      </c>
    </row>
    <row r="28" customFormat="false" ht="15" hidden="false" customHeight="false" outlineLevel="0" collapsed="false">
      <c r="A28" s="3" t="s">
        <v>32</v>
      </c>
      <c r="B28" s="3"/>
      <c r="C28" s="3"/>
    </row>
    <row r="29" customFormat="false" ht="13.5" hidden="false" customHeight="true" outlineLevel="0" collapsed="false">
      <c r="A29" s="4" t="s">
        <v>33</v>
      </c>
      <c r="B29" s="5" t="n">
        <v>20000</v>
      </c>
      <c r="C29" s="6" t="s">
        <v>34</v>
      </c>
    </row>
    <row r="30" customFormat="false" ht="13.5" hidden="false" customHeight="true" outlineLevel="0" collapsed="false">
      <c r="A30" s="4" t="s">
        <v>35</v>
      </c>
      <c r="B30" s="8" t="n">
        <f aca="false">B26-B29</f>
        <v>73350</v>
      </c>
    </row>
    <row r="31" customFormat="false" ht="55.5" hidden="false" customHeight="true" outlineLevel="0" collapsed="false">
      <c r="A31" s="15" t="s">
        <v>36</v>
      </c>
      <c r="B31" s="15"/>
      <c r="C31" s="15"/>
    </row>
    <row r="33" customFormat="false" ht="15" hidden="false" customHeight="false" outlineLevel="0" collapsed="false">
      <c r="A33" s="3" t="s">
        <v>37</v>
      </c>
      <c r="B33" s="3"/>
      <c r="C33" s="3"/>
    </row>
    <row r="34" customFormat="false" ht="13.5" hidden="false" customHeight="true" outlineLevel="0" collapsed="false">
      <c r="A34" s="16" t="s">
        <v>38</v>
      </c>
      <c r="B34" s="17" t="n">
        <f aca="false">B13-B26</f>
        <v>67900</v>
      </c>
      <c r="C34" s="18" t="s">
        <v>39</v>
      </c>
    </row>
    <row r="35" customFormat="false" ht="13.5" hidden="false" customHeight="true" outlineLevel="0" collapsed="false">
      <c r="A35" s="19" t="s">
        <v>40</v>
      </c>
      <c r="B35" s="20" t="n">
        <f aca="false">B16</f>
        <v>85000</v>
      </c>
    </row>
    <row r="36" customFormat="false" ht="13.5" hidden="false" customHeight="true" outlineLevel="0" collapsed="false">
      <c r="A36" s="19" t="s">
        <v>41</v>
      </c>
      <c r="B36" s="20" t="n">
        <f aca="false">B25</f>
        <v>8350</v>
      </c>
    </row>
  </sheetData>
  <mergeCells count="7">
    <mergeCell ref="A1:C1"/>
    <mergeCell ref="A2:C2"/>
    <mergeCell ref="A4:C4"/>
    <mergeCell ref="A15:C15"/>
    <mergeCell ref="A28:C28"/>
    <mergeCell ref="A31:C31"/>
    <mergeCell ref="A33:C33"/>
  </mergeCells>
  <conditionalFormatting sqref="B34">
    <cfRule type="cellIs" priority="2" operator="greaterThanOrEqual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2"/>
    <col collapsed="false" customWidth="true" hidden="false" outlineLevel="0" max="3" min="3" style="0" width="70"/>
  </cols>
  <sheetData>
    <row r="1" customFormat="false" ht="19.5" hidden="false" customHeight="true" outlineLevel="0" collapsed="false">
      <c r="A1" s="1" t="s">
        <v>42</v>
      </c>
      <c r="B1" s="1"/>
      <c r="C1" s="1"/>
    </row>
    <row r="2" customFormat="false" ht="42" hidden="false" customHeight="true" outlineLevel="0" collapsed="false">
      <c r="A2" s="2" t="s">
        <v>43</v>
      </c>
      <c r="B2" s="2"/>
      <c r="C2" s="2"/>
    </row>
    <row r="4" customFormat="false" ht="15" hidden="false" customHeight="false" outlineLevel="0" collapsed="false">
      <c r="A4" s="21" t="s">
        <v>44</v>
      </c>
      <c r="B4" s="21" t="s">
        <v>45</v>
      </c>
      <c r="C4" s="21" t="s">
        <v>46</v>
      </c>
    </row>
    <row r="5" customFormat="false" ht="43.5" hidden="false" customHeight="true" outlineLevel="0" collapsed="false">
      <c r="A5" s="4" t="s">
        <v>47</v>
      </c>
      <c r="B5" s="22" t="s">
        <v>48</v>
      </c>
      <c r="C5" s="23" t="s">
        <v>49</v>
      </c>
    </row>
    <row r="6" customFormat="false" ht="43.5" hidden="false" customHeight="true" outlineLevel="0" collapsed="false">
      <c r="A6" s="4" t="s">
        <v>50</v>
      </c>
      <c r="B6" s="22" t="s">
        <v>51</v>
      </c>
      <c r="C6" s="23" t="s">
        <v>52</v>
      </c>
    </row>
    <row r="7" customFormat="false" ht="43.5" hidden="false" customHeight="true" outlineLevel="0" collapsed="false">
      <c r="A7" s="4" t="s">
        <v>12</v>
      </c>
      <c r="B7" s="22" t="s">
        <v>53</v>
      </c>
      <c r="C7" s="23" t="s">
        <v>54</v>
      </c>
    </row>
    <row r="8" customFormat="false" ht="43.5" hidden="false" customHeight="true" outlineLevel="0" collapsed="false">
      <c r="A8" s="4" t="s">
        <v>55</v>
      </c>
      <c r="B8" s="22" t="s">
        <v>56</v>
      </c>
      <c r="C8" s="23" t="s">
        <v>57</v>
      </c>
    </row>
    <row r="9" customFormat="false" ht="43.5" hidden="false" customHeight="true" outlineLevel="0" collapsed="false">
      <c r="A9" s="4" t="s">
        <v>58</v>
      </c>
      <c r="B9" s="22" t="s">
        <v>59</v>
      </c>
      <c r="C9" s="23" t="s">
        <v>60</v>
      </c>
    </row>
    <row r="10" customFormat="false" ht="43.5" hidden="false" customHeight="true" outlineLevel="0" collapsed="false">
      <c r="A10" s="4" t="s">
        <v>25</v>
      </c>
      <c r="B10" s="22" t="s">
        <v>61</v>
      </c>
      <c r="C10" s="23" t="s">
        <v>62</v>
      </c>
    </row>
    <row r="11" customFormat="false" ht="43.5" hidden="false" customHeight="true" outlineLevel="0" collapsed="false">
      <c r="A11" s="4" t="s">
        <v>63</v>
      </c>
      <c r="B11" s="22" t="s">
        <v>64</v>
      </c>
      <c r="C11" s="23" t="s">
        <v>65</v>
      </c>
    </row>
    <row r="12" customFormat="false" ht="43.5" hidden="false" customHeight="true" outlineLevel="0" collapsed="false">
      <c r="A12" s="4" t="s">
        <v>66</v>
      </c>
      <c r="B12" s="22" t="s">
        <v>67</v>
      </c>
      <c r="C12" s="23" t="s">
        <v>68</v>
      </c>
    </row>
    <row r="13" customFormat="false" ht="43.5" hidden="false" customHeight="true" outlineLevel="0" collapsed="false">
      <c r="A13" s="4" t="s">
        <v>69</v>
      </c>
      <c r="B13" s="22" t="s">
        <v>70</v>
      </c>
      <c r="C13" s="23" t="s">
        <v>71</v>
      </c>
    </row>
    <row r="14" customFormat="false" ht="43.5" hidden="false" customHeight="true" outlineLevel="0" collapsed="false">
      <c r="A14" s="4" t="s">
        <v>72</v>
      </c>
      <c r="B14" s="22" t="s">
        <v>73</v>
      </c>
      <c r="C14" s="23" t="s">
        <v>74</v>
      </c>
    </row>
    <row r="15" customFormat="false" ht="43.5" hidden="false" customHeight="true" outlineLevel="0" collapsed="false">
      <c r="A15" s="4" t="s">
        <v>75</v>
      </c>
      <c r="B15" s="22" t="s">
        <v>76</v>
      </c>
      <c r="C15" s="23" t="s">
        <v>77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2026-09-02T14:47:39Z</dcterms:created>
  <dc:creator>openpyxl</dc:creator>
  <dc:description/>
  <dc:language>en-US</dc:language>
  <cp:lastModifiedBy/>
  <dcterms:modified xsi:type="dcterms:W3CDTF">2026-09-02T14:47:39Z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